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mbriaeducationtrust-my.sharepoint.com/personal/21ebrisca_williamhoward_cumbria_sch_uk/Documents/Documents/Product Design/NEA/"/>
    </mc:Choice>
  </mc:AlternateContent>
  <xr:revisionPtr revIDLastSave="187" documentId="8_{E7F34847-CBD6-4F94-B4FE-9999B591FD16}" xr6:coauthVersionLast="47" xr6:coauthVersionMax="47" xr10:uidLastSave="{FAC1B302-60AF-419F-82DF-8A3F4C9383AA}"/>
  <bookViews>
    <workbookView xWindow="-120" yWindow="-120" windowWidth="29040" windowHeight="15840" xr2:uid="{EAC8BC15-1CBC-47EF-8AA9-03587B451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F17" i="1" s="1"/>
  <c r="F19" i="1" s="1"/>
  <c r="E9" i="1"/>
  <c r="F9" i="1" s="1"/>
  <c r="E10" i="1"/>
  <c r="F10" i="1" s="1"/>
  <c r="E11" i="1"/>
  <c r="F11" i="1" s="1"/>
  <c r="E12" i="1"/>
  <c r="F12" i="1" s="1"/>
  <c r="E14" i="1"/>
  <c r="F14" i="1" s="1"/>
  <c r="E15" i="1"/>
  <c r="F15" i="1" s="1"/>
  <c r="E16" i="1"/>
  <c r="F16" i="1" s="1"/>
  <c r="E6" i="1"/>
  <c r="F6" i="1" s="1"/>
  <c r="E7" i="1"/>
  <c r="F7" i="1" s="1"/>
  <c r="E8" i="1"/>
  <c r="F8" i="1" s="1"/>
  <c r="E5" i="1"/>
  <c r="F5" i="1" s="1"/>
</calcChain>
</file>

<file path=xl/sharedStrings.xml><?xml version="1.0" encoding="utf-8"?>
<sst xmlns="http://schemas.openxmlformats.org/spreadsheetml/2006/main" count="38" uniqueCount="37">
  <si>
    <t>BOM List</t>
  </si>
  <si>
    <t>Item</t>
  </si>
  <si>
    <t>Quantity In Pack</t>
  </si>
  <si>
    <t>Quantity Needed</t>
  </si>
  <si>
    <t>Price Per Pack</t>
  </si>
  <si>
    <t>Cost Per Piece</t>
  </si>
  <si>
    <t>Total Cost</t>
  </si>
  <si>
    <t>PCB</t>
  </si>
  <si>
    <t>Electrical Components</t>
  </si>
  <si>
    <t>Availible for £0.19 in 1000+</t>
  </si>
  <si>
    <t>Comment</t>
  </si>
  <si>
    <t>Will be availible cheaper in bulk</t>
  </si>
  <si>
    <t>Link</t>
  </si>
  <si>
    <t>YS-SBZ1230 | Fengming | Buzzers | JLCPCB</t>
  </si>
  <si>
    <t>2N2222A | ST(Semtech) | Bipolar (BJT) | JLCPCB</t>
  </si>
  <si>
    <t>Availible for £0.017 in 1000+</t>
  </si>
  <si>
    <t>1230 Buzzer</t>
  </si>
  <si>
    <t>2N2222A BJT</t>
  </si>
  <si>
    <t>1206 LED</t>
  </si>
  <si>
    <t>KT-1206G | Hubei KENTO Elec | LED Indication - Discrete | JLCPCB</t>
  </si>
  <si>
    <t>Availible for £0.0109 in 3000+</t>
  </si>
  <si>
    <t>1206 resistors</t>
  </si>
  <si>
    <t>Availible for 0.018 in 1000+</t>
  </si>
  <si>
    <t>RCT0647KFLF | HKR(Hong Kong Resistors) | Chip Resistor - Surface Mount | JLCPCB</t>
  </si>
  <si>
    <t>ATTiny85 MCU</t>
  </si>
  <si>
    <t>Digispark Kickstarter Micro Development Board ATTINY85/TINY85 Module for Arduino IIC I2C USB - AliExpress 502</t>
  </si>
  <si>
    <t>MQ135 Gas sensor</t>
  </si>
  <si>
    <t>1-10pcs New MQ135 MQ-135 Air Quality Sensor Hazardous Gas Detection Module - AliExpress 502</t>
  </si>
  <si>
    <t>O-Ring (NBR - Generic)</t>
  </si>
  <si>
    <t>ERIKS O-ring NBR 70 Compound 36624 | ERIKS shop UK</t>
  </si>
  <si>
    <t>Other</t>
  </si>
  <si>
    <t>PLA (per gram)</t>
  </si>
  <si>
    <t>Suction Cups</t>
  </si>
  <si>
    <t>Battery Spring Contacts</t>
  </si>
  <si>
    <t>5/10Pcs Suction Cups with Screw 25/32/41/53mm Plastic Sucker Pad Holder PVC Sucker with Screw Nut for Bathroom Window Car Shade - AliExpress 15</t>
  </si>
  <si>
    <t>Total</t>
  </si>
  <si>
    <t>Acrylic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</si>
</sst>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164" formatCode="&quot;£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E519A-B4BD-47A4-A942-FBB1ABF435D8}" name="Table1" displayName="Table1" ref="A3:H19" totalsRowShown="0">
  <autoFilter ref="A3:H19" xr:uid="{D0FE519A-B4BD-47A4-A942-FBB1ABF435D8}"/>
  <tableColumns count="8">
    <tableColumn id="1" xr3:uid="{59E11C6C-FF79-4ED9-8314-BE87DB517392}" name="Item"/>
    <tableColumn id="3" xr3:uid="{E1507F2D-CDDA-456C-A084-4CF10FF1D19C}" name="Quantity In Pack"/>
    <tableColumn id="4" xr3:uid="{2FED024B-DAF7-42E5-8EB4-8DC9AA3C43F6}" name="Quantity Needed"/>
    <tableColumn id="6" xr3:uid="{E2E2BED0-D59C-41D7-84AE-A58510702168}" name="Price Per Pack" dataDxfId="0"/>
    <tableColumn id="7" xr3:uid="{E91AE667-C768-4E8A-BB85-C400823BB36D}" name="Cost Per Piece"/>
    <tableColumn id="9" xr3:uid="{789A7006-3808-4E70-8502-0A464CB96E49}" name="Total Cost"/>
    <tableColumn id="2" xr3:uid="{37843C35-0047-4B66-8F46-09CF43736EA4}" name="Comment"/>
    <tableColumn id="5" xr3:uid="{26170593-CAB2-41BE-89DA-0BE2A5E7BC11}" name="Link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6333992112.html?spm=a2g0o.order_list.order_list_main.30.68f81802NwpCgZ" TargetMode="External"/><Relationship Id="rId3" Type="http://schemas.openxmlformats.org/officeDocument/2006/relationships/hyperlink" Target="https://jlcpcb.com/partdetail/Hubei_KENTOElec-KT1206G/C14641" TargetMode="External"/><Relationship Id="rId7" Type="http://schemas.openxmlformats.org/officeDocument/2006/relationships/hyperlink" Target="https://shop.eriks.co.uk/en/seals-o-rings-and-accessories-o-rings/o-ring-nbr-70-compound-36624-pr-ec010584-0009/" TargetMode="External"/><Relationship Id="rId2" Type="http://schemas.openxmlformats.org/officeDocument/2006/relationships/hyperlink" Target="https://jlcpcb.com/partdetail/ST_Semtech-2N2222A/C118536" TargetMode="External"/><Relationship Id="rId1" Type="http://schemas.openxmlformats.org/officeDocument/2006/relationships/hyperlink" Target="https://jlcpcb.com/partdetail/Fengming-YSSBZ1230/C409829" TargetMode="External"/><Relationship Id="rId6" Type="http://schemas.openxmlformats.org/officeDocument/2006/relationships/hyperlink" Target="https://www.aliexpress.com/item/1005007138549841.html?spm=a2g0o.order_list.order_list_main.95.68f81802NwpCgZ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aliexpress.com/item/1005006642842543.html?spm=a2g0o.order_list.order_list_main.90.68f81802NwpCgZ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jlcpcb.com/partdetail/HKR_Hong_Kong_Resistors-RCT0647KFLF/C185719" TargetMode="External"/><Relationship Id="rId9" Type="http://schemas.openxmlformats.org/officeDocument/2006/relationships/hyperlink" Target="https://www.aliexpress.com/item/1005006333992112.html?spm=a2g0o.order_list.order_list_main.30.68f81802NwpC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3CFB-D81D-4111-A11D-0BAFB0D62E2A}">
  <dimension ref="A1:H19"/>
  <sheetViews>
    <sheetView tabSelected="1" zoomScale="115" zoomScaleNormal="115" workbookViewId="0">
      <selection activeCell="H33" sqref="H33"/>
    </sheetView>
  </sheetViews>
  <sheetFormatPr defaultRowHeight="15" x14ac:dyDescent="0.25"/>
  <cols>
    <col min="1" max="1" width="21.7109375" customWidth="1"/>
    <col min="2" max="2" width="19.85546875" customWidth="1"/>
    <col min="3" max="3" width="20.140625" customWidth="1"/>
    <col min="4" max="5" width="17.7109375" customWidth="1"/>
    <col min="6" max="6" width="15.140625" customWidth="1"/>
    <col min="7" max="7" width="29.28515625" customWidth="1"/>
    <col min="8" max="8" width="128" customWidth="1"/>
  </cols>
  <sheetData>
    <row r="1" spans="1:8" x14ac:dyDescent="0.25">
      <c r="A1" s="2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10</v>
      </c>
      <c r="H3" t="s">
        <v>12</v>
      </c>
    </row>
    <row r="4" spans="1:8" x14ac:dyDescent="0.25">
      <c r="A4" s="2" t="s">
        <v>8</v>
      </c>
      <c r="D4" s="1"/>
      <c r="E4" s="1"/>
      <c r="F4" s="1"/>
    </row>
    <row r="5" spans="1:8" x14ac:dyDescent="0.25">
      <c r="A5" t="s">
        <v>7</v>
      </c>
      <c r="B5">
        <v>5</v>
      </c>
      <c r="C5" s="4">
        <v>1</v>
      </c>
      <c r="D5" s="1">
        <v>3.48</v>
      </c>
      <c r="E5" s="1">
        <f>D5/B5</f>
        <v>0.69599999999999995</v>
      </c>
      <c r="F5" s="1">
        <f>E5*C5</f>
        <v>0.69599999999999995</v>
      </c>
      <c r="G5" t="s">
        <v>11</v>
      </c>
    </row>
    <row r="6" spans="1:8" x14ac:dyDescent="0.25">
      <c r="A6" t="s">
        <v>16</v>
      </c>
      <c r="B6">
        <v>1</v>
      </c>
      <c r="C6" s="4">
        <v>1</v>
      </c>
      <c r="D6" s="1">
        <v>0.37559999999999999</v>
      </c>
      <c r="E6" s="1">
        <f t="shared" ref="E6:E7" si="0">D6/B6</f>
        <v>0.37559999999999999</v>
      </c>
      <c r="F6" s="1">
        <f t="shared" ref="F6:F16" si="1">E6*C6</f>
        <v>0.37559999999999999</v>
      </c>
      <c r="G6" t="s">
        <v>9</v>
      </c>
      <c r="H6" s="3" t="s">
        <v>13</v>
      </c>
    </row>
    <row r="7" spans="1:8" x14ac:dyDescent="0.25">
      <c r="A7" t="s">
        <v>17</v>
      </c>
      <c r="B7">
        <v>1</v>
      </c>
      <c r="C7" s="4">
        <v>2</v>
      </c>
      <c r="D7" s="1">
        <v>2.2499999999999999E-2</v>
      </c>
      <c r="E7" s="1">
        <f t="shared" si="0"/>
        <v>2.2499999999999999E-2</v>
      </c>
      <c r="F7" s="1">
        <f t="shared" si="1"/>
        <v>4.4999999999999998E-2</v>
      </c>
      <c r="G7" t="s">
        <v>15</v>
      </c>
      <c r="H7" s="3" t="s">
        <v>14</v>
      </c>
    </row>
    <row r="8" spans="1:8" x14ac:dyDescent="0.25">
      <c r="A8" t="s">
        <v>18</v>
      </c>
      <c r="B8">
        <v>1</v>
      </c>
      <c r="C8" s="4">
        <v>16</v>
      </c>
      <c r="D8" s="1">
        <v>1.83E-2</v>
      </c>
      <c r="E8" s="1">
        <f>D8/B8</f>
        <v>1.83E-2</v>
      </c>
      <c r="F8" s="1">
        <f t="shared" si="1"/>
        <v>0.2928</v>
      </c>
      <c r="G8" t="s">
        <v>20</v>
      </c>
      <c r="H8" s="3" t="s">
        <v>19</v>
      </c>
    </row>
    <row r="9" spans="1:8" x14ac:dyDescent="0.25">
      <c r="A9" t="s">
        <v>21</v>
      </c>
      <c r="B9">
        <v>10</v>
      </c>
      <c r="C9" s="4">
        <v>22</v>
      </c>
      <c r="D9" s="1">
        <v>2.4E-2</v>
      </c>
      <c r="E9" s="1">
        <f t="shared" ref="E9:E16" si="2">D9/B9</f>
        <v>2.4000000000000002E-3</v>
      </c>
      <c r="F9" s="1">
        <f t="shared" si="1"/>
        <v>5.2800000000000007E-2</v>
      </c>
      <c r="G9" t="s">
        <v>22</v>
      </c>
      <c r="H9" s="3" t="s">
        <v>23</v>
      </c>
    </row>
    <row r="10" spans="1:8" x14ac:dyDescent="0.25">
      <c r="A10" t="s">
        <v>24</v>
      </c>
      <c r="B10">
        <v>1</v>
      </c>
      <c r="C10" s="4">
        <v>1</v>
      </c>
      <c r="D10" s="1">
        <v>0.57999999999999996</v>
      </c>
      <c r="E10" s="1">
        <f t="shared" si="2"/>
        <v>0.57999999999999996</v>
      </c>
      <c r="F10" s="1">
        <f t="shared" si="1"/>
        <v>0.57999999999999996</v>
      </c>
      <c r="H10" s="3" t="s">
        <v>25</v>
      </c>
    </row>
    <row r="11" spans="1:8" x14ac:dyDescent="0.25">
      <c r="A11" t="s">
        <v>26</v>
      </c>
      <c r="B11">
        <v>1</v>
      </c>
      <c r="C11" s="4">
        <v>1</v>
      </c>
      <c r="D11" s="1">
        <v>1.21</v>
      </c>
      <c r="E11" s="1">
        <f t="shared" si="2"/>
        <v>1.21</v>
      </c>
      <c r="F11" s="1">
        <f t="shared" si="1"/>
        <v>1.21</v>
      </c>
      <c r="H11" s="3" t="s">
        <v>27</v>
      </c>
    </row>
    <row r="12" spans="1:8" x14ac:dyDescent="0.25">
      <c r="A12" t="s">
        <v>28</v>
      </c>
      <c r="B12">
        <v>5</v>
      </c>
      <c r="C12" s="4">
        <v>2</v>
      </c>
      <c r="D12" s="1">
        <v>1.58</v>
      </c>
      <c r="E12" s="1">
        <f t="shared" si="2"/>
        <v>0.316</v>
      </c>
      <c r="F12" s="1">
        <f t="shared" si="1"/>
        <v>0.63200000000000001</v>
      </c>
      <c r="H12" s="3" t="s">
        <v>29</v>
      </c>
    </row>
    <row r="13" spans="1:8" x14ac:dyDescent="0.25">
      <c r="A13" s="2" t="s">
        <v>30</v>
      </c>
      <c r="C13" s="4"/>
      <c r="D13" s="1"/>
      <c r="E13" s="1"/>
      <c r="F13" s="1"/>
    </row>
    <row r="14" spans="1:8" x14ac:dyDescent="0.25">
      <c r="A14" t="s">
        <v>31</v>
      </c>
      <c r="B14">
        <v>1000</v>
      </c>
      <c r="C14" s="4">
        <v>250</v>
      </c>
      <c r="D14" s="1">
        <v>10</v>
      </c>
      <c r="E14" s="1">
        <f t="shared" si="2"/>
        <v>0.01</v>
      </c>
      <c r="F14" s="1">
        <f t="shared" si="1"/>
        <v>2.5</v>
      </c>
    </row>
    <row r="15" spans="1:8" x14ac:dyDescent="0.25">
      <c r="A15" t="s">
        <v>32</v>
      </c>
      <c r="B15">
        <v>10</v>
      </c>
      <c r="C15" s="4">
        <v>4</v>
      </c>
      <c r="D15" s="1">
        <v>2.33</v>
      </c>
      <c r="E15" s="1">
        <f t="shared" si="2"/>
        <v>0.23300000000000001</v>
      </c>
      <c r="F15" s="1">
        <f t="shared" si="1"/>
        <v>0.93200000000000005</v>
      </c>
      <c r="H15" s="3" t="s">
        <v>34</v>
      </c>
    </row>
    <row r="16" spans="1:8" x14ac:dyDescent="0.25">
      <c r="A16" t="s">
        <v>33</v>
      </c>
      <c r="B16">
        <v>20</v>
      </c>
      <c r="C16" s="4">
        <v>16</v>
      </c>
      <c r="D16" s="1">
        <v>1.72</v>
      </c>
      <c r="E16" s="1">
        <f t="shared" si="2"/>
        <v>8.5999999999999993E-2</v>
      </c>
      <c r="F16" s="1">
        <f t="shared" si="1"/>
        <v>1.3759999999999999</v>
      </c>
      <c r="H16" s="3" t="s">
        <v>34</v>
      </c>
    </row>
    <row r="17" spans="1:6" x14ac:dyDescent="0.25">
      <c r="A17" t="s">
        <v>36</v>
      </c>
      <c r="B17">
        <v>12</v>
      </c>
      <c r="C17" s="4">
        <v>1</v>
      </c>
      <c r="D17" s="1">
        <v>1</v>
      </c>
      <c r="E17" s="1">
        <f t="shared" ref="E17" si="3">D17/B17</f>
        <v>8.3333333333333329E-2</v>
      </c>
      <c r="F17" s="1">
        <f t="shared" ref="F17" si="4">E17*C17</f>
        <v>8.3333333333333329E-2</v>
      </c>
    </row>
    <row r="18" spans="1:6" x14ac:dyDescent="0.25">
      <c r="D18" s="1"/>
    </row>
    <row r="19" spans="1:6" x14ac:dyDescent="0.25">
      <c r="A19" s="2" t="s">
        <v>35</v>
      </c>
      <c r="D19" s="1"/>
      <c r="F19" s="1">
        <f>F5+F6+F7+F8+F9+F10+F11+F12+F14+F15+F16+F17</f>
        <v>8.7755333333333336</v>
      </c>
    </row>
  </sheetData>
  <hyperlinks>
    <hyperlink ref="H6" r:id="rId1" display="https://jlcpcb.com/partdetail/Fengming-YSSBZ1230/C409829" xr:uid="{04A39B1A-0B2D-4AA5-B576-A01B65586F1D}"/>
    <hyperlink ref="H7" r:id="rId2" display="https://jlcpcb.com/partdetail/ST_Semtech-2N2222A/C118536" xr:uid="{AC5FF22F-BF5C-43C7-A698-9A6F231C2C84}"/>
    <hyperlink ref="H8" r:id="rId3" display="https://jlcpcb.com/partdetail/Hubei_KENTOElec-KT1206G/C14641" xr:uid="{8765DA58-0226-4C79-BA16-86CD4A42F8D9}"/>
    <hyperlink ref="H9" r:id="rId4" display="https://jlcpcb.com/partdetail/HKR_Hong_Kong_Resistors-RCT0647KFLF/C185719" xr:uid="{D866D566-2AE0-49ED-9B3B-83C70994438C}"/>
    <hyperlink ref="H10" r:id="rId5" display="https://www.aliexpress.com/item/1005006642842543.html?spm=a2g0o.order_list.order_list_main.90.68f81802NwpCgZ" xr:uid="{D8C9CCA9-C23C-48B2-AA16-B54FB0B586E6}"/>
    <hyperlink ref="H11" r:id="rId6" display="https://www.aliexpress.com/item/1005007138549841.html?spm=a2g0o.order_list.order_list_main.95.68f81802NwpCgZ" xr:uid="{52814408-3B3F-4159-BD70-955C3C01E9B5}"/>
    <hyperlink ref="H12" r:id="rId7" display="https://shop.eriks.co.uk/en/seals-o-rings-and-accessories-o-rings/o-ring-nbr-70-compound-36624-pr-ec010584-0009/" xr:uid="{9A9DDD7E-C8E1-41ED-8AF9-3AFC05FAA53D}"/>
    <hyperlink ref="H15" r:id="rId8" display="https://www.aliexpress.com/item/1005006333992112.html?spm=a2g0o.order_list.order_list_main.30.68f81802NwpCgZ" xr:uid="{CEA2484B-032D-42DF-B3DD-3CFEEF3EAF7B}"/>
    <hyperlink ref="H16" r:id="rId9" display="https://www.aliexpress.com/item/1005006333992112.html?spm=a2g0o.order_list.order_list_main.30.68f81802NwpCgZ" xr:uid="{375AE444-DB5A-40EC-BFB8-3F8B58FE8287}"/>
  </hyperlinks>
  <pageMargins left="0.7" right="0.7" top="0.75" bottom="0.75" header="0.3" footer="0.3"/>
  <pageSetup paperSize="9"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B</dc:creator>
  <cp:lastModifiedBy>Eduard Brisca</cp:lastModifiedBy>
  <dcterms:created xsi:type="dcterms:W3CDTF">2025-12-18T21:02:41Z</dcterms:created>
  <dcterms:modified xsi:type="dcterms:W3CDTF">2026-01-07T14:13:59Z</dcterms:modified>
</cp:coreProperties>
</file>